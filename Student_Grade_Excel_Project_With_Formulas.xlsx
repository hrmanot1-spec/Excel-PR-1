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Grad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'Student Grade'!$A$1:$I$11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Percentages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Grade'!G1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Grade'!$B$2:$B$11</f>
            </numRef>
          </cat>
          <val>
            <numRef>
              <f>'Student Grade'!$G$2:$G$11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22" customWidth="1" min="10" max="10"/>
    <col width="58" customWidth="1" min="11" max="11"/>
    <col width="20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Total</t>
        </is>
      </c>
      <c r="G1" s="1" t="inlineStr">
        <is>
          <t>Percentage</t>
        </is>
      </c>
      <c r="H1" s="1" t="inlineStr">
        <is>
          <t>Grade</t>
        </is>
      </c>
      <c r="I1" s="1" t="inlineStr">
        <is>
          <t>Result</t>
        </is>
      </c>
      <c r="J1" s="8" t="inlineStr">
        <is>
          <t>Formula Used</t>
        </is>
      </c>
      <c r="K1" s="8" t="inlineStr">
        <is>
          <t>Formula Result</t>
        </is>
      </c>
      <c r="L1" s="1" t="n"/>
      <c r="M1" s="1" t="inlineStr">
        <is>
          <t>SUMMARY</t>
        </is>
      </c>
      <c r="N1" s="1" t="n"/>
    </row>
    <row r="2">
      <c r="A2" s="2" t="n">
        <v>101</v>
      </c>
      <c r="B2" s="2" t="inlineStr">
        <is>
          <t>Aarav</t>
        </is>
      </c>
      <c r="C2" s="2" t="n">
        <v>92</v>
      </c>
      <c r="D2" s="2" t="n">
        <v>88</v>
      </c>
      <c r="E2" s="2" t="n">
        <v>85</v>
      </c>
      <c r="F2" s="2">
        <f>SUM(C2:E2)</f>
        <v/>
      </c>
      <c r="G2" s="3">
        <f>F2/300*100</f>
        <v/>
      </c>
      <c r="H2" s="2">
        <f>IF(G2&gt;=80,"A",IF(G2&gt;=60,"B",IF(G2&gt;=40,"C","F")))</f>
        <v/>
      </c>
      <c r="I2" s="2">
        <f>IF(G2&gt;=40,"PASS","FAIL")</f>
        <v/>
      </c>
      <c r="J2" s="7" t="inlineStr">
        <is>
          <t>Total</t>
        </is>
      </c>
      <c r="K2" s="9">
        <f>SUM(C2:E2)</f>
        <v/>
      </c>
      <c r="L2">
        <f>COUNTIFS(C2:C11,"&gt;60")</f>
        <v/>
      </c>
      <c r="M2" s="4" t="inlineStr">
        <is>
          <t>Total Students</t>
        </is>
      </c>
      <c r="N2">
        <f>COUNTA(B2:B11)</f>
        <v/>
      </c>
    </row>
    <row r="3">
      <c r="A3" s="2" t="n">
        <v>102</v>
      </c>
      <c r="B3" s="2" t="inlineStr">
        <is>
          <t>Riya</t>
        </is>
      </c>
      <c r="C3" s="2" t="n">
        <v>76</v>
      </c>
      <c r="D3" s="2" t="n">
        <v>91</v>
      </c>
      <c r="E3" s="2" t="n">
        <v>79</v>
      </c>
      <c r="F3" s="2">
        <f>SUM(C3:E3)</f>
        <v/>
      </c>
      <c r="G3" s="3">
        <f>F3/300*100</f>
        <v/>
      </c>
      <c r="H3" s="2">
        <f>IF(G3&gt;=80,"A",IF(G3&gt;=60,"B",IF(G3&gt;=40,"C","F")))</f>
        <v/>
      </c>
      <c r="I3" s="2">
        <f>IF(G3&gt;=40,"PASS","FAIL")</f>
        <v/>
      </c>
      <c r="J3" s="7" t="inlineStr">
        <is>
          <t>Percentage</t>
        </is>
      </c>
      <c r="K3" s="9">
        <f>F2/300*100</f>
        <v/>
      </c>
      <c r="L3">
        <f>AVERAGEIFS(C2:C11,C2:C11,"&gt;60")</f>
        <v/>
      </c>
      <c r="M3" s="4" t="inlineStr">
        <is>
          <t>Highest Percentage</t>
        </is>
      </c>
      <c r="N3">
        <f>MAX(G2:G11)</f>
        <v/>
      </c>
    </row>
    <row r="4">
      <c r="A4" s="2" t="n">
        <v>103</v>
      </c>
      <c r="B4" s="2" t="inlineStr">
        <is>
          <t>Kabir</t>
        </is>
      </c>
      <c r="C4" s="2" t="n">
        <v>54</v>
      </c>
      <c r="D4" s="2" t="n">
        <v>67</v>
      </c>
      <c r="E4" s="2" t="n">
        <v>61</v>
      </c>
      <c r="F4" s="2">
        <f>SUM(C4:E4)</f>
        <v/>
      </c>
      <c r="G4" s="3">
        <f>F4/300*100</f>
        <v/>
      </c>
      <c r="H4" s="2">
        <f>IF(G4&gt;=80,"A",IF(G4&gt;=60,"B",IF(G4&gt;=40,"C","F")))</f>
        <v/>
      </c>
      <c r="I4" s="2">
        <f>IF(G4&gt;=40,"PASS","FAIL")</f>
        <v/>
      </c>
      <c r="J4" s="7" t="inlineStr">
        <is>
          <t>Grade</t>
        </is>
      </c>
      <c r="K4" s="9">
        <f>IF(G2&gt;=80,"A",IF(G2&gt;=60,"B",IF(G2&gt;=40,"C","F")))</f>
        <v/>
      </c>
      <c r="L4">
        <f>COUNTIFS(C2:C11,"&gt;80",D2:D11,"&gt;80")</f>
        <v/>
      </c>
      <c r="M4" s="4" t="inlineStr">
        <is>
          <t>Lowest Percentage</t>
        </is>
      </c>
      <c r="N4">
        <f>MIN(G2:G11)</f>
        <v/>
      </c>
    </row>
    <row r="5">
      <c r="A5" s="2" t="n">
        <v>104</v>
      </c>
      <c r="B5" s="2" t="inlineStr">
        <is>
          <t>Diya</t>
        </is>
      </c>
      <c r="C5" s="2" t="n">
        <v>38</v>
      </c>
      <c r="D5" s="2" t="n">
        <v>45</v>
      </c>
      <c r="E5" s="2" t="n">
        <v>52</v>
      </c>
      <c r="F5" s="2">
        <f>SUM(C5:E5)</f>
        <v/>
      </c>
      <c r="G5" s="3">
        <f>F5/300*100</f>
        <v/>
      </c>
      <c r="H5" s="2">
        <f>IF(G5&gt;=80,"A",IF(G5&gt;=60,"B",IF(G5&gt;=40,"C","F")))</f>
        <v/>
      </c>
      <c r="I5" s="2">
        <f>IF(G5&gt;=40,"PASS","FAIL")</f>
        <v/>
      </c>
      <c r="J5" s="7" t="inlineStr">
        <is>
          <t>Result</t>
        </is>
      </c>
      <c r="K5" s="9">
        <f>IF(G2&gt;=40,"PASS","FAIL")</f>
        <v/>
      </c>
      <c r="L5">
        <f>FILTER(A2:I11,C2:C11&gt;80,"No students")</f>
        <v/>
      </c>
      <c r="M5" s="4" t="inlineStr">
        <is>
          <t>Average Percentage</t>
        </is>
      </c>
      <c r="N5">
        <f>AVERAGE(G2:G11)</f>
        <v/>
      </c>
    </row>
    <row r="6">
      <c r="A6" s="2" t="n">
        <v>105</v>
      </c>
      <c r="B6" s="2" t="inlineStr">
        <is>
          <t>Arjun</t>
        </is>
      </c>
      <c r="C6" s="2" t="n">
        <v>84</v>
      </c>
      <c r="D6" s="2" t="n">
        <v>82</v>
      </c>
      <c r="E6" s="2" t="n">
        <v>90</v>
      </c>
      <c r="F6" s="2">
        <f>SUM(C6:E6)</f>
        <v/>
      </c>
      <c r="G6" s="3">
        <f>F6/300*100</f>
        <v/>
      </c>
      <c r="H6" s="2">
        <f>IF(G6&gt;=80,"A",IF(G6&gt;=60,"B",IF(G6&gt;=40,"C","F")))</f>
        <v/>
      </c>
      <c r="I6" s="2">
        <f>IF(G6&gt;=40,"PASS","FAIL")</f>
        <v/>
      </c>
      <c r="L6">
        <f>IF(OR(C2&gt;90,D2&gt;90),"Excellent","Normal")</f>
        <v/>
      </c>
      <c r="M6" s="4" t="inlineStr">
        <is>
          <t>Students Passed</t>
        </is>
      </c>
      <c r="N6">
        <f>COUNTIF(I2:I11,"PASS")</f>
        <v/>
      </c>
    </row>
    <row r="7">
      <c r="A7" s="2" t="n">
        <v>106</v>
      </c>
      <c r="B7" s="2" t="inlineStr">
        <is>
          <t>Meera</t>
        </is>
      </c>
      <c r="C7" s="2" t="n">
        <v>65</v>
      </c>
      <c r="D7" s="2" t="n">
        <v>72</v>
      </c>
      <c r="E7" s="2" t="n">
        <v>68</v>
      </c>
      <c r="F7" s="2">
        <f>SUM(C7:E7)</f>
        <v/>
      </c>
      <c r="G7" s="3">
        <f>F7/300*100</f>
        <v/>
      </c>
      <c r="H7" s="2">
        <f>IF(G7&gt;=80,"A",IF(G7&gt;=60,"B",IF(G7&gt;=40,"C","F")))</f>
        <v/>
      </c>
      <c r="I7" s="2">
        <f>IF(G7&gt;=40,"PASS","FAIL")</f>
        <v/>
      </c>
      <c r="M7" s="4" t="n"/>
    </row>
    <row r="8">
      <c r="A8" s="2" t="n">
        <v>107</v>
      </c>
      <c r="B8" s="2" t="inlineStr">
        <is>
          <t>Vivaan</t>
        </is>
      </c>
      <c r="C8" s="2" t="n">
        <v>95</v>
      </c>
      <c r="D8" s="2" t="n">
        <v>94</v>
      </c>
      <c r="E8" s="2" t="n">
        <v>96</v>
      </c>
      <c r="F8" s="2">
        <f>SUM(C8:E8)</f>
        <v/>
      </c>
      <c r="G8" s="3">
        <f>F8/300*100</f>
        <v/>
      </c>
      <c r="H8" s="2">
        <f>IF(G8&gt;=80,"A",IF(G8&gt;=60,"B",IF(G8&gt;=40,"C","F")))</f>
        <v/>
      </c>
      <c r="I8" s="2">
        <f>IF(G8&gt;=40,"PASS","FAIL")</f>
        <v/>
      </c>
      <c r="M8" s="4" t="inlineStr">
        <is>
          <t>Math Above 60 (COUNTIFS)</t>
        </is>
      </c>
      <c r="N8">
        <f>COUNTIFS(C2:C11,"&gt;60")</f>
        <v/>
      </c>
    </row>
    <row r="9">
      <c r="A9" s="2" t="n">
        <v>108</v>
      </c>
      <c r="B9" s="2" t="inlineStr">
        <is>
          <t>Anaya</t>
        </is>
      </c>
      <c r="C9" s="2" t="n">
        <v>48</v>
      </c>
      <c r="D9" s="2" t="n">
        <v>55</v>
      </c>
      <c r="E9" s="2" t="n">
        <v>59</v>
      </c>
      <c r="F9" s="2">
        <f>SUM(C9:E9)</f>
        <v/>
      </c>
      <c r="G9" s="3">
        <f>F9/300*100</f>
        <v/>
      </c>
      <c r="H9" s="2">
        <f>IF(G9&gt;=80,"A",IF(G9&gt;=60,"B",IF(G9&gt;=40,"C","F")))</f>
        <v/>
      </c>
      <c r="I9" s="2">
        <f>IF(G9&gt;=40,"PASS","FAIL")</f>
        <v/>
      </c>
      <c r="M9" s="4" t="inlineStr">
        <is>
          <t>Average Math Above 60 (AVERAGEIFS)</t>
        </is>
      </c>
      <c r="N9">
        <f>AVERAGEIFS(C2:C11,C2:C11,"&gt;60")</f>
        <v/>
      </c>
    </row>
    <row r="10">
      <c r="A10" s="2" t="n">
        <v>109</v>
      </c>
      <c r="B10" s="2" t="inlineStr">
        <is>
          <t>Rahul</t>
        </is>
      </c>
      <c r="C10" s="2" t="n">
        <v>72</v>
      </c>
      <c r="D10" s="2" t="n">
        <v>68</v>
      </c>
      <c r="E10" s="2" t="n">
        <v>75</v>
      </c>
      <c r="F10" s="2">
        <f>SUM(C10:E10)</f>
        <v/>
      </c>
      <c r="G10" s="3">
        <f>F10/300*100</f>
        <v/>
      </c>
      <c r="H10" s="2">
        <f>IF(G10&gt;=80,"A",IF(G10&gt;=60,"B",IF(G10&gt;=40,"C","F")))</f>
        <v/>
      </c>
      <c r="I10" s="2">
        <f>IF(G10&gt;=40,"PASS","FAIL")</f>
        <v/>
      </c>
    </row>
    <row r="11">
      <c r="A11" s="2" t="n">
        <v>110</v>
      </c>
      <c r="B11" s="2" t="inlineStr">
        <is>
          <t>Priya</t>
        </is>
      </c>
      <c r="C11" s="2" t="n">
        <v>87</v>
      </c>
      <c r="D11" s="2" t="n">
        <v>79</v>
      </c>
      <c r="E11" s="2" t="n">
        <v>84</v>
      </c>
      <c r="F11" s="2">
        <f>SUM(C11:E11)</f>
        <v/>
      </c>
      <c r="G11" s="3">
        <f>F11/300*100</f>
        <v/>
      </c>
      <c r="H11" s="2">
        <f>IF(G11&gt;=80,"A",IF(G11&gt;=60,"B",IF(G11&gt;=40,"C","F")))</f>
        <v/>
      </c>
      <c r="I11" s="2">
        <f>IF(G11&gt;=40,"PASS","FAIL")</f>
        <v/>
      </c>
      <c r="M11" s="5" t="inlineStr">
        <is>
          <t>Math + Science &gt; 80</t>
        </is>
      </c>
      <c r="N11">
        <f>COUNTIFS(C2:C11,"&gt;80",D2:D11,"&gt;80")</f>
        <v/>
      </c>
    </row>
    <row r="12">
      <c r="M12" s="5" t="inlineStr">
        <is>
          <t>Excellent (Math OR Science &gt; 90)</t>
        </is>
      </c>
      <c r="N12">
        <f>COUNTIFS(C2:C11,"&gt;90")+COUNTIFS(D2:D11,"&gt;90")-COUNTIFS(C2:C11,"&gt;90",D2:D11,"&gt;90")</f>
        <v/>
      </c>
    </row>
    <row r="13"/>
    <row r="14">
      <c r="A14" s="5" t="inlineStr">
        <is>
          <t>FORMULA REFERENCE — STUDENT GRADE PROJECT</t>
        </is>
      </c>
    </row>
    <row r="15">
      <c r="A15" s="10" t="inlineStr">
        <is>
          <t>Task</t>
        </is>
      </c>
      <c r="B15" s="10" t="inlineStr">
        <is>
          <t>Cell / Range</t>
        </is>
      </c>
      <c r="C15" s="10" t="inlineStr">
        <is>
          <t>Formula</t>
        </is>
      </c>
      <c r="M15" s="5" t="inlineStr">
        <is>
          <t>Students with Math &gt; 80 (FILTER)</t>
        </is>
      </c>
    </row>
    <row r="16">
      <c r="A16" s="11" t="inlineStr">
        <is>
          <t>Total Marks</t>
        </is>
      </c>
      <c r="B16" s="11" t="inlineStr">
        <is>
          <t>F2:F11</t>
        </is>
      </c>
      <c r="C16" s="11">
        <f>SUM(C2:E2)</f>
        <v/>
      </c>
      <c r="M16">
        <f>FILTER(A2:I11,C2:C11&gt;80,"No students")</f>
        <v/>
      </c>
    </row>
    <row r="17">
      <c r="A17" s="11" t="inlineStr">
        <is>
          <t>Percentage</t>
        </is>
      </c>
      <c r="B17" s="11" t="inlineStr">
        <is>
          <t>G2:G11</t>
        </is>
      </c>
      <c r="C17" s="11">
        <f>F2/300*100</f>
        <v/>
      </c>
    </row>
    <row r="18">
      <c r="A18" s="11" t="inlineStr">
        <is>
          <t>Grade</t>
        </is>
      </c>
      <c r="B18" s="11" t="inlineStr">
        <is>
          <t>H2:H11</t>
        </is>
      </c>
      <c r="C18" s="11">
        <f>IF(G2&gt;=80,"A",IF(G2&gt;=60,"B",IF(G2&gt;=40,"C","F")))</f>
        <v/>
      </c>
    </row>
    <row r="19">
      <c r="A19" s="11" t="inlineStr">
        <is>
          <t>Result</t>
        </is>
      </c>
      <c r="B19" s="11" t="inlineStr">
        <is>
          <t>I2:I11</t>
        </is>
      </c>
      <c r="C19" s="11">
        <f>IF(G2&gt;=40,"PASS","FAIL")</f>
        <v/>
      </c>
    </row>
    <row r="20">
      <c r="A20" s="11" t="inlineStr">
        <is>
          <t>COUNTIFS</t>
        </is>
      </c>
      <c r="B20" s="11" t="inlineStr">
        <is>
          <t>L2</t>
        </is>
      </c>
      <c r="C20" s="11">
        <f>COUNTIFS(C2:C11,"&gt;60")</f>
        <v/>
      </c>
    </row>
    <row r="21">
      <c r="A21" s="11" t="inlineStr">
        <is>
          <t>AVERAGEIFS</t>
        </is>
      </c>
      <c r="B21" s="11" t="inlineStr">
        <is>
          <t>L3</t>
        </is>
      </c>
      <c r="C21" s="11">
        <f>AVERAGEIFS(C2:C11,C2:C11,"&gt;60")</f>
        <v/>
      </c>
    </row>
    <row r="22">
      <c r="A22" s="11" t="inlineStr">
        <is>
          <t>Math + Science &gt;80</t>
        </is>
      </c>
      <c r="B22" s="11" t="inlineStr">
        <is>
          <t>L4</t>
        </is>
      </c>
      <c r="C22" s="11">
        <f>COUNTIFS(C2:C11,"&gt;80",D2:D11,"&gt;80")</f>
        <v/>
      </c>
    </row>
    <row r="23">
      <c r="A23" s="11" t="inlineStr">
        <is>
          <t>Math &gt;80 FILTER</t>
        </is>
      </c>
      <c r="B23" s="11" t="inlineStr">
        <is>
          <t>L5</t>
        </is>
      </c>
      <c r="C23" s="11">
        <f>FILTER(A2:I11,C2:C11&gt;80,"No students")</f>
        <v/>
      </c>
    </row>
    <row r="24">
      <c r="A24" s="11" t="inlineStr">
        <is>
          <t>Math OR Science &gt;90</t>
        </is>
      </c>
      <c r="B24" s="11" t="inlineStr">
        <is>
          <t>L6</t>
        </is>
      </c>
      <c r="C24" s="11">
        <f>IF(OR(C2&gt;90,D2&gt;90),"Excellent","Normal")</f>
        <v/>
      </c>
    </row>
  </sheetData>
  <autoFilter ref="A1:I11"/>
  <mergeCells count="1">
    <mergeCell ref="A14:D14"/>
  </mergeCells>
  <conditionalFormatting sqref="I2:I1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6" t="inlineStr">
        <is>
          <t>Student Grade Excel Project</t>
        </is>
      </c>
      <c r="B1" s="5" t="inlineStr"/>
    </row>
    <row r="2">
      <c r="A2" s="7" t="inlineStr">
        <is>
          <t>Step 1</t>
        </is>
      </c>
      <c r="B2" t="inlineStr">
        <is>
          <t>Enter student data in Student Grade sheet.</t>
        </is>
      </c>
    </row>
    <row r="3">
      <c r="A3" s="7" t="inlineStr">
        <is>
          <t>Step 2</t>
        </is>
      </c>
      <c r="B3" t="inlineStr">
        <is>
          <t>Total = SUM(Math:English).</t>
        </is>
      </c>
    </row>
    <row r="4">
      <c r="A4" s="7" t="inlineStr">
        <is>
          <t>Step 3</t>
        </is>
      </c>
      <c r="B4" t="inlineStr">
        <is>
          <t>Percentage = Total/300*100.</t>
        </is>
      </c>
    </row>
    <row r="5">
      <c r="A5" s="7" t="inlineStr">
        <is>
          <t>Step 4</t>
        </is>
      </c>
      <c r="B5" t="inlineStr">
        <is>
          <t>Grade uses nested IF: A &gt;=80, B &gt;=60, C &gt;=40, F below 40.</t>
        </is>
      </c>
    </row>
    <row r="6">
      <c r="A6" s="7" t="inlineStr">
        <is>
          <t>Step 5</t>
        </is>
      </c>
      <c r="B6" t="inlineStr">
        <is>
          <t>Result uses IF: PASS &gt;=40, otherwise FAIL.</t>
        </is>
      </c>
    </row>
    <row r="7">
      <c r="A7" s="7" t="inlineStr">
        <is>
          <t>Step 6</t>
        </is>
      </c>
      <c r="B7" t="inlineStr">
        <is>
          <t>COUNTIFS counts Math scores above 60.</t>
        </is>
      </c>
    </row>
    <row r="8">
      <c r="A8" s="7" t="inlineStr">
        <is>
          <t>Step 7</t>
        </is>
      </c>
      <c r="B8" t="inlineStr">
        <is>
          <t>AVERAGEIFS calculates average Math score above 60.</t>
        </is>
      </c>
    </row>
    <row r="9">
      <c r="A9" s="7" t="inlineStr">
        <is>
          <t>Step 8</t>
        </is>
      </c>
      <c r="B9" t="inlineStr">
        <is>
          <t>COUNTIFS with two criteria checks Math and Science both above 80.</t>
        </is>
      </c>
    </row>
    <row r="10">
      <c r="A10" s="7" t="inlineStr">
        <is>
          <t>Step 9</t>
        </is>
      </c>
      <c r="B10" t="inlineStr">
        <is>
          <t>FILTER displays students with Math above 80.</t>
        </is>
      </c>
    </row>
    <row r="11">
      <c r="A11" s="7" t="inlineStr">
        <is>
          <t>Note</t>
        </is>
      </c>
      <c r="B11" t="inlineStr">
        <is>
          <t>FILTER requires Microsoft 365 / Excel 2021+ or a compatible spreadsheet.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2026-10-08T05:26:04Z</dcterms:created>
  <dcterms:modified xmlns:dcterms="http://purl.org/dc/terms/" xmlns:xsi="http://www.w3.org/2001/XMLSchema-instance" xsi:type="dcterms:W3CDTF">2026-10-08T05:31:16Z</dcterms:modified>
</cp:coreProperties>
</file>